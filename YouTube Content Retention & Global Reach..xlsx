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BHAM\OneDrive\Desktop\THAI SERIES WORLDWIDE DATASET\Topic 1 YouTube Content Retention &amp; Global Reach\"/>
    </mc:Choice>
  </mc:AlternateContent>
  <bookViews>
    <workbookView xWindow="0" yWindow="0" windowWidth="15375" windowHeight="11145" activeTab="2"/>
  </bookViews>
  <sheets>
    <sheet name="Pivot Series" sheetId="11" r:id="rId1"/>
    <sheet name="Pivot_Retention_Trend" sheetId="12" r:id="rId2"/>
    <sheet name="DATA" sheetId="1" r:id="rId3"/>
    <sheet name="Pivot_Country" sheetId="13" r:id="rId4"/>
    <sheet name="GEOGRAPHY DATA" sheetId="2" r:id="rId5"/>
    <sheet name="SUBSCRIBER DATA" sheetId="3" r:id="rId6"/>
  </sheet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6" i="1"/>
  <c r="J27" i="1"/>
  <c r="J29" i="1"/>
  <c r="J30" i="1"/>
  <c r="J31" i="1"/>
  <c r="J32" i="1"/>
  <c r="J33" i="1"/>
  <c r="J34" i="1"/>
  <c r="J2" i="1"/>
  <c r="I3" i="1"/>
  <c r="I4" i="1"/>
  <c r="I5" i="1"/>
  <c r="I6" i="1"/>
  <c r="I7" i="1"/>
  <c r="I8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6" i="1"/>
  <c r="I27" i="1"/>
  <c r="I29" i="1"/>
  <c r="I30" i="1"/>
  <c r="I31" i="1"/>
  <c r="I32" i="1"/>
  <c r="I33" i="1"/>
  <c r="I34" i="1"/>
  <c r="I2" i="1"/>
  <c r="D2" i="3"/>
  <c r="D3" i="3"/>
  <c r="D4" i="3"/>
  <c r="D5" i="3"/>
  <c r="D6" i="3"/>
  <c r="D7" i="3"/>
  <c r="D8" i="3"/>
  <c r="D9" i="3"/>
  <c r="D10" i="3"/>
  <c r="D11" i="3"/>
  <c r="D12" i="3"/>
  <c r="D13" i="3"/>
  <c r="D14" i="3"/>
</calcChain>
</file>

<file path=xl/sharedStrings.xml><?xml version="1.0" encoding="utf-8"?>
<sst xmlns="http://schemas.openxmlformats.org/spreadsheetml/2006/main" count="191" uniqueCount="31">
  <si>
    <t>Series</t>
  </si>
  <si>
    <t>Episode</t>
  </si>
  <si>
    <t>Upload Date</t>
  </si>
  <si>
    <t>Views</t>
  </si>
  <si>
    <t>Likes</t>
  </si>
  <si>
    <t>Comments</t>
  </si>
  <si>
    <t>Avg Watch Time (Minutes)</t>
  </si>
  <si>
    <t>Duration (Minutes)</t>
  </si>
  <si>
    <t>Series A</t>
  </si>
  <si>
    <t>Ep 1</t>
  </si>
  <si>
    <t>Ep 2</t>
  </si>
  <si>
    <t>Ep 3</t>
  </si>
  <si>
    <t>Series B</t>
  </si>
  <si>
    <t>Series C</t>
  </si>
  <si>
    <t>Country</t>
  </si>
  <si>
    <t>Thailand</t>
  </si>
  <si>
    <t>Philippines</t>
  </si>
  <si>
    <t>Indonesia</t>
  </si>
  <si>
    <t>Brazil</t>
  </si>
  <si>
    <t>India</t>
  </si>
  <si>
    <t>Japan</t>
  </si>
  <si>
    <t>Row Labels</t>
  </si>
  <si>
    <t>Grand Total</t>
  </si>
  <si>
    <t>Column Labels</t>
  </si>
  <si>
    <t>% Contribution</t>
  </si>
  <si>
    <t>Engagement Rate</t>
  </si>
  <si>
    <t>Retention Rate</t>
  </si>
  <si>
    <t>(blank)</t>
  </si>
  <si>
    <t>Average of Engagement Rate</t>
  </si>
  <si>
    <t>Average of Retention Rate</t>
  </si>
  <si>
    <t>Sum of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</si>
</sst>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1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1" fillId="3" borderId="4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14" fontId="1" fillId="3" borderId="1" xfId="1" applyNumberFormat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14" fontId="1" fillId="3" borderId="8" xfId="1" applyNumberFormat="1" applyFill="1" applyBorder="1" applyAlignment="1">
      <alignment horizontal="center"/>
    </xf>
    <xf numFmtId="0" fontId="1" fillId="3" borderId="9" xfId="1" applyFill="1" applyBorder="1" applyAlignment="1">
      <alignment horizontal="center"/>
    </xf>
  </cellXfs>
  <cellStyles count="2">
    <cellStyle name="Heading 4" xfId="1" builtinId="19"/>
    <cellStyle name="Normal" xfId="0" builtinId="0"/>
  </cellStyles>
  <dxfs count="3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 Content Retention &amp; Global Reach..xlsx]Pivot_Retention_Trend!PivotTable2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Pivot_Retention_Trend!$B$1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Pivot_Retention_Trend!$A$2:$A$19</c:f>
              <c:strCache>
                <c:ptCount val="17"/>
                <c:pt idx="0">
                  <c:v>Upload Date</c:v>
                </c:pt>
                <c:pt idx="1">
                  <c:v>1/10/2025</c:v>
                </c:pt>
                <c:pt idx="2">
                  <c:v>10/3/2025</c:v>
                </c:pt>
                <c:pt idx="3">
                  <c:v>10/5/2025</c:v>
                </c:pt>
                <c:pt idx="4">
                  <c:v>10/8/2025</c:v>
                </c:pt>
                <c:pt idx="5">
                  <c:v>10/10/2025</c:v>
                </c:pt>
                <c:pt idx="6">
                  <c:v>10/12/2025</c:v>
                </c:pt>
                <c:pt idx="7">
                  <c:v>10/15/2025</c:v>
                </c:pt>
                <c:pt idx="8">
                  <c:v>10/3/2026</c:v>
                </c:pt>
                <c:pt idx="9">
                  <c:v>10/10/2026</c:v>
                </c:pt>
                <c:pt idx="10">
                  <c:v>10/15/2026</c:v>
                </c:pt>
                <c:pt idx="11">
                  <c:v>10/5/2027</c:v>
                </c:pt>
                <c:pt idx="12">
                  <c:v>10/12/2027</c:v>
                </c:pt>
                <c:pt idx="13">
                  <c:v>10/15/2027</c:v>
                </c:pt>
                <c:pt idx="14">
                  <c:v>10/7/2028</c:v>
                </c:pt>
                <c:pt idx="15">
                  <c:v>10/2/2029</c:v>
                </c:pt>
                <c:pt idx="16">
                  <c:v>(blank)</c:v>
                </c:pt>
              </c:strCache>
            </c:strRef>
          </c:cat>
          <c:val>
            <c:numRef>
              <c:f>Pivot_Retention_Trend!$B$2:$B$19</c:f>
              <c:numCache>
                <c:formatCode>General</c:formatCode>
                <c:ptCount val="17"/>
                <c:pt idx="0">
                  <c:v>0</c:v>
                </c:pt>
                <c:pt idx="1">
                  <c:v>2.5</c:v>
                </c:pt>
                <c:pt idx="2">
                  <c:v>1.9789815861734781</c:v>
                </c:pt>
                <c:pt idx="3">
                  <c:v>1.8426532406127505</c:v>
                </c:pt>
                <c:pt idx="4">
                  <c:v>2.1428571428571428</c:v>
                </c:pt>
                <c:pt idx="5">
                  <c:v>1.8637994543495382</c:v>
                </c:pt>
                <c:pt idx="6">
                  <c:v>1.7886496956514826</c:v>
                </c:pt>
                <c:pt idx="7">
                  <c:v>1.6071428571428572</c:v>
                </c:pt>
                <c:pt idx="8">
                  <c:v>1.9364161849711008</c:v>
                </c:pt>
                <c:pt idx="9">
                  <c:v>1.9074333800841534</c:v>
                </c:pt>
                <c:pt idx="10">
                  <c:v>1.8801089918256146</c:v>
                </c:pt>
                <c:pt idx="11">
                  <c:v>1.7640047675804551</c:v>
                </c:pt>
                <c:pt idx="12">
                  <c:v>1.7441860465116295</c:v>
                </c:pt>
                <c:pt idx="13">
                  <c:v>1.7253121452894449</c:v>
                </c:pt>
                <c:pt idx="14">
                  <c:v>1.6430020283975677</c:v>
                </c:pt>
                <c:pt idx="15">
                  <c:v>1.6285998013902694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767856"/>
        <c:axId val="378842176"/>
      </c:lineChart>
      <c:catAx>
        <c:axId val="37976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42176"/>
        <c:crosses val="autoZero"/>
        <c:auto val="1"/>
        <c:lblAlgn val="ctr"/>
        <c:lblOffset val="100"/>
        <c:noMultiLvlLbl val="0"/>
      </c:catAx>
      <c:valAx>
        <c:axId val="378842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6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 Content Retention &amp; Global Reach..xlsx]Pivot_Country!PivotTable3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Pivot_Country!$B$3:$B$4</c:f>
              <c:strCache>
                <c:ptCount val="1"/>
                <c:pt idx="0">
                  <c:v>Series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Pivot_Country!$A$5:$A$12</c:f>
              <c:strCache>
                <c:ptCount val="7"/>
                <c:pt idx="0">
                  <c:v>Brazil</c:v>
                </c:pt>
                <c:pt idx="1">
                  <c:v>Country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Philippines</c:v>
                </c:pt>
                <c:pt idx="6">
                  <c:v>Thailand</c:v>
                </c:pt>
              </c:strCache>
            </c:strRef>
          </c:cat>
          <c:val>
            <c:numRef>
              <c:f>Pivot_Country!$B$5:$B$12</c:f>
              <c:numCache>
                <c:formatCode>General</c:formatCode>
                <c:ptCount val="7"/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Pivot_Country!$C$3:$C$4</c:f>
              <c:strCache>
                <c:ptCount val="1"/>
                <c:pt idx="0">
                  <c:v>Series 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Pivot_Country!$A$5:$A$12</c:f>
              <c:strCache>
                <c:ptCount val="7"/>
                <c:pt idx="0">
                  <c:v>Brazil</c:v>
                </c:pt>
                <c:pt idx="1">
                  <c:v>Country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Philippines</c:v>
                </c:pt>
                <c:pt idx="6">
                  <c:v>Thailand</c:v>
                </c:pt>
              </c:strCache>
            </c:strRef>
          </c:cat>
          <c:val>
            <c:numRef>
              <c:f>Pivot_Country!$C$5:$C$12</c:f>
              <c:numCache>
                <c:formatCode>General</c:formatCode>
                <c:ptCount val="7"/>
                <c:pt idx="0">
                  <c:v>665934.06593406596</c:v>
                </c:pt>
                <c:pt idx="2">
                  <c:v>384340.65934065898</c:v>
                </c:pt>
                <c:pt idx="3">
                  <c:v>1044780.2197802209</c:v>
                </c:pt>
                <c:pt idx="5">
                  <c:v>1140659.3406593401</c:v>
                </c:pt>
                <c:pt idx="6">
                  <c:v>1336538.461538462</c:v>
                </c:pt>
              </c:numCache>
            </c:numRef>
          </c:val>
        </c:ser>
        <c:ser>
          <c:idx val="2"/>
          <c:order val="2"/>
          <c:tx>
            <c:strRef>
              <c:f>Pivot_Country!$D$3:$D$4</c:f>
              <c:strCache>
                <c:ptCount val="1"/>
                <c:pt idx="0">
                  <c:v>Series 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Pivot_Country!$A$5:$A$12</c:f>
              <c:strCache>
                <c:ptCount val="7"/>
                <c:pt idx="0">
                  <c:v>Brazil</c:v>
                </c:pt>
                <c:pt idx="1">
                  <c:v>Country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Philippines</c:v>
                </c:pt>
                <c:pt idx="6">
                  <c:v>Thailand</c:v>
                </c:pt>
              </c:strCache>
            </c:strRef>
          </c:cat>
          <c:val>
            <c:numRef>
              <c:f>Pivot_Country!$D$5:$D$12</c:f>
              <c:numCache>
                <c:formatCode>General</c:formatCode>
                <c:ptCount val="7"/>
                <c:pt idx="0">
                  <c:v>438461.53846153902</c:v>
                </c:pt>
                <c:pt idx="2">
                  <c:v>150000</c:v>
                </c:pt>
                <c:pt idx="3">
                  <c:v>537087.91208791197</c:v>
                </c:pt>
                <c:pt idx="5">
                  <c:v>635714.28571428591</c:v>
                </c:pt>
              </c:numCache>
            </c:numRef>
          </c:val>
        </c:ser>
        <c:ser>
          <c:idx val="3"/>
          <c:order val="3"/>
          <c:tx>
            <c:strRef>
              <c:f>Pivot_Country!$E$3:$E$4</c:f>
              <c:strCache>
                <c:ptCount val="1"/>
                <c:pt idx="0">
                  <c:v>Series 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Pivot_Country!$A$5:$A$12</c:f>
              <c:strCache>
                <c:ptCount val="7"/>
                <c:pt idx="0">
                  <c:v>Brazil</c:v>
                </c:pt>
                <c:pt idx="1">
                  <c:v>Country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Philippines</c:v>
                </c:pt>
                <c:pt idx="6">
                  <c:v>Thailand</c:v>
                </c:pt>
              </c:strCache>
            </c:strRef>
          </c:cat>
          <c:val>
            <c:numRef>
              <c:f>Pivot_Country!$E$5:$E$12</c:f>
              <c:numCache>
                <c:formatCode>General</c:formatCode>
                <c:ptCount val="7"/>
                <c:pt idx="0">
                  <c:v>200000</c:v>
                </c:pt>
                <c:pt idx="3">
                  <c:v>350000</c:v>
                </c:pt>
                <c:pt idx="4">
                  <c:v>400000</c:v>
                </c:pt>
                <c:pt idx="5">
                  <c:v>450000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8956848"/>
        <c:axId val="378874744"/>
        <c:axId val="0"/>
      </c:bar3DChart>
      <c:catAx>
        <c:axId val="37895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74744"/>
        <c:crosses val="autoZero"/>
        <c:auto val="1"/>
        <c:lblAlgn val="ctr"/>
        <c:lblOffset val="100"/>
        <c:noMultiLvlLbl val="0"/>
      </c:catAx>
      <c:valAx>
        <c:axId val="37887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5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5</xdr:row>
      <xdr:rowOff>4762</xdr:rowOff>
    </xdr:from>
    <xdr:to>
      <xdr:col>14</xdr:col>
      <xdr:colOff>390524</xdr:colOff>
      <xdr:row>30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138111</xdr:rowOff>
    </xdr:from>
    <xdr:to>
      <xdr:col>19</xdr:col>
      <xdr:colOff>228599</xdr:colOff>
      <xdr:row>29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ubham Panchal" refreshedDate="46077.463001041666" createdVersion="5" refreshedVersion="5" minRefreshableVersion="3" recordCount="34">
  <cacheSource type="worksheet">
    <worksheetSource ref="A1:J1048576" sheet="DATA"/>
  </cacheSource>
  <cacheFields count="10">
    <cacheField name="Series" numFmtId="0">
      <sharedItems containsBlank="1" count="5">
        <s v="Series A"/>
        <s v="Series B"/>
        <s v="Series C"/>
        <s v="Series"/>
        <m/>
      </sharedItems>
    </cacheField>
    <cacheField name="Episode" numFmtId="0">
      <sharedItems containsBlank="1"/>
    </cacheField>
    <cacheField name="Upload Date" numFmtId="0">
      <sharedItems containsDate="1" containsBlank="1" containsMixedTypes="1" minDate="2025-01-10T00:00:00" maxDate="2029-10-03T00:00:00" count="17">
        <d v="2025-01-10T00:00:00"/>
        <d v="2025-10-08T00:00:00"/>
        <d v="2025-10-15T00:00:00"/>
        <d v="2025-10-03T00:00:00"/>
        <d v="2025-10-10T00:00:00"/>
        <d v="2025-10-05T00:00:00"/>
        <d v="2025-10-12T00:00:00"/>
        <s v="Upload Date"/>
        <d v="2026-10-03T00:00:00"/>
        <d v="2026-10-10T00:00:00"/>
        <d v="2026-10-15T00:00:00"/>
        <d v="2027-10-05T00:00:00"/>
        <d v="2027-10-12T00:00:00"/>
        <d v="2027-10-15T00:00:00"/>
        <d v="2028-10-07T00:00:00"/>
        <d v="2029-10-02T00:00:00"/>
        <m/>
      </sharedItems>
    </cacheField>
    <cacheField name="Views" numFmtId="0">
      <sharedItems containsBlank="1" containsMixedTypes="1" containsNumber="1" containsInteger="1" minValue="900000" maxValue="2112500"/>
    </cacheField>
    <cacheField name="Likes" numFmtId="0">
      <sharedItems containsBlank="1" containsMixedTypes="1" containsNumber="1" minValue="60000" maxValue="162964.285714286"/>
    </cacheField>
    <cacheField name="Comments" numFmtId="0">
      <sharedItems containsBlank="1" containsMixedTypes="1" containsNumber="1" minValue="3200" maxValue="12828.5714285714"/>
    </cacheField>
    <cacheField name="Avg Watch Time (Minutes)" numFmtId="0">
      <sharedItems containsBlank="1" containsMixedTypes="1" containsNumber="1" minValue="16" maxValue="35.964285714285701"/>
    </cacheField>
    <cacheField name="Duration (Minutes)" numFmtId="0">
      <sharedItems containsBlank="1" containsMixedTypes="1" containsNumber="1" minValue="40" maxValue="58.571428571428598"/>
    </cacheField>
    <cacheField name="Engagement Rate" numFmtId="0">
      <sharedItems containsString="0" containsBlank="1" containsNumber="1" minValue="0" maxValue="8.3215553677092255E-2"/>
    </cacheField>
    <cacheField name="Retention Rate" numFmtId="0">
      <sharedItems containsString="0" containsBlank="1" containsNumber="1" minValue="0" maxValue="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ubham Panchal" refreshedDate="46077.470691898146" createdVersion="5" refreshedVersion="5" minRefreshableVersion="3" recordCount="29">
  <cacheSource type="worksheet">
    <worksheetSource name="Table2"/>
  </cacheSource>
  <cacheFields count="3">
    <cacheField name="Country" numFmtId="0">
      <sharedItems count="7">
        <s v="Thailand"/>
        <s v="Philippines"/>
        <s v="Indonesia"/>
        <s v="Brazil"/>
        <s v="India"/>
        <s v="Japan"/>
        <s v="Country"/>
      </sharedItems>
    </cacheField>
    <cacheField name="Series" numFmtId="0">
      <sharedItems count="4">
        <s v="Series A"/>
        <s v="Series B"/>
        <s v="Series C"/>
        <s v="Series"/>
      </sharedItems>
    </cacheField>
    <cacheField name="Views" numFmtId="0">
      <sharedItems containsMixedTypes="1" containsNumber="1" minValue="100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s v="Ep 1"/>
    <x v="0"/>
    <n v="1200000"/>
    <n v="85000"/>
    <n v="4200"/>
    <n v="18"/>
    <n v="45"/>
    <n v="7.4333333333333335E-2"/>
    <n v="2.5"/>
  </r>
  <r>
    <x v="0"/>
    <s v="Ep 2"/>
    <x v="1"/>
    <n v="1350000"/>
    <n v="92000"/>
    <n v="5100"/>
    <n v="21"/>
    <n v="45"/>
    <n v="7.1925925925925921E-2"/>
    <n v="2.1428571428571428"/>
  </r>
  <r>
    <x v="0"/>
    <s v="Ep 3"/>
    <x v="2"/>
    <n v="2000000"/>
    <n v="150000"/>
    <n v="8900"/>
    <n v="28"/>
    <n v="45"/>
    <n v="7.9450000000000007E-2"/>
    <n v="1.6071428571428572"/>
  </r>
  <r>
    <x v="1"/>
    <s v="Ep 1"/>
    <x v="3"/>
    <n v="900000"/>
    <n v="60000"/>
    <n v="3200"/>
    <n v="16"/>
    <n v="40"/>
    <n v="7.0222222222222228E-2"/>
    <n v="2.5"/>
  </r>
  <r>
    <x v="1"/>
    <s v="Ep 2"/>
    <x v="4"/>
    <n v="1100000"/>
    <n v="72000"/>
    <n v="4100"/>
    <n v="19"/>
    <n v="40"/>
    <n v="6.9181818181818178E-2"/>
    <n v="2.1052631578947367"/>
  </r>
  <r>
    <x v="2"/>
    <s v="Ep 1"/>
    <x v="5"/>
    <n v="1500000"/>
    <n v="110000"/>
    <n v="6700"/>
    <n v="24"/>
    <n v="50"/>
    <n v="7.7799999999999994E-2"/>
    <n v="2.0833333333333335"/>
  </r>
  <r>
    <x v="2"/>
    <s v="Ep 2"/>
    <x v="6"/>
    <n v="1750000"/>
    <n v="130000"/>
    <n v="8200"/>
    <n v="26"/>
    <n v="50"/>
    <n v="7.8971428571428567E-2"/>
    <n v="1.9230769230769231"/>
  </r>
  <r>
    <x v="3"/>
    <s v="Episode"/>
    <x v="7"/>
    <s v="Views"/>
    <s v="Likes"/>
    <s v="Comments"/>
    <s v="Avg Watch Time (Minutes)"/>
    <s v="Duration (Minutes)"/>
    <n v="0"/>
    <n v="0"/>
  </r>
  <r>
    <x v="0"/>
    <s v="Ep 1"/>
    <x v="8"/>
    <n v="1550000"/>
    <n v="113142.857142857"/>
    <n v="7257.1428571428596"/>
    <n v="24.714285714285701"/>
    <n v="47.857142857142897"/>
    <n v="7.7677419354838614E-2"/>
    <n v="1.9364161849711008"/>
  </r>
  <r>
    <x v="0"/>
    <s v="Ep 2"/>
    <x v="9"/>
    <n v="1587500"/>
    <n v="116464.285714286"/>
    <n v="7628.5714285714303"/>
    <n v="25.464285714285701"/>
    <n v="48.571428571428598"/>
    <n v="7.816872890888657E-2"/>
    <n v="1.9074333800841534"/>
  </r>
  <r>
    <x v="0"/>
    <s v="Ep 3"/>
    <x v="10"/>
    <n v="1625000"/>
    <n v="119785.714285714"/>
    <n v="8000"/>
    <n v="26.214285714285701"/>
    <n v="49.285714285714299"/>
    <n v="7.8637362637362457E-2"/>
    <n v="1.8801089918256146"/>
  </r>
  <r>
    <x v="1"/>
    <s v="Ep 1"/>
    <x v="3"/>
    <n v="1662500"/>
    <n v="123107.142857143"/>
    <n v="8371.4285714285706"/>
    <n v="26.964285714285701"/>
    <n v="50"/>
    <n v="7.9084854994629514E-2"/>
    <n v="1.8543046357615902"/>
  </r>
  <r>
    <x v="1"/>
    <s v="Ep 2"/>
    <x v="4"/>
    <n v="1700000"/>
    <n v="126428.571428571"/>
    <n v="8742.8571428571504"/>
    <n v="27.714285714285701"/>
    <n v="50.714285714285701"/>
    <n v="7.9512605042016557E-2"/>
    <n v="1.8298969072164952"/>
  </r>
  <r>
    <x v="2"/>
    <s v="Ep 1"/>
    <x v="5"/>
    <n v="1737500"/>
    <n v="129750"/>
    <n v="9114.2857142857192"/>
    <n v="28.464285714285701"/>
    <n v="51.428571428571402"/>
    <n v="7.9921891058581704E-2"/>
    <n v="1.8067754077791718"/>
  </r>
  <r>
    <x v="2"/>
    <s v="Ep 2"/>
    <x v="6"/>
    <n v="1775000"/>
    <n v="133071.42857142899"/>
    <n v="9485.7142857142899"/>
    <n v="29.214285714285701"/>
    <n v="52.142857142857103"/>
    <n v="8.0313883299799035E-2"/>
    <n v="1.7848410757946205"/>
  </r>
  <r>
    <x v="3"/>
    <s v="Episode"/>
    <x v="7"/>
    <s v="Views"/>
    <s v="Likes"/>
    <s v="Comments"/>
    <s v="Avg Watch Time (Minutes)"/>
    <s v="Duration (Minutes)"/>
    <n v="0"/>
    <n v="0"/>
  </r>
  <r>
    <x v="0"/>
    <s v="Ep 1"/>
    <x v="11"/>
    <n v="1812500"/>
    <n v="136392.85714285701"/>
    <n v="9857.1428571428605"/>
    <n v="29.964285714285701"/>
    <n v="52.857142857142897"/>
    <n v="8.0689655172413735E-2"/>
    <n v="1.7640047675804551"/>
  </r>
  <r>
    <x v="0"/>
    <s v="Ep 2"/>
    <x v="12"/>
    <n v="1850000"/>
    <n v="139714.285714286"/>
    <n v="10228.5714285714"/>
    <n v="30.714285714285701"/>
    <n v="53.571428571428598"/>
    <n v="8.1050193050193189E-2"/>
    <n v="1.7441860465116295"/>
  </r>
  <r>
    <x v="0"/>
    <s v="Ep 3"/>
    <x v="13"/>
    <n v="1887500"/>
    <n v="143035.714285714"/>
    <n v="10600"/>
    <n v="31.464285714285701"/>
    <n v="54.285714285714299"/>
    <n v="8.1396404919583581E-2"/>
    <n v="1.7253121452894449"/>
  </r>
  <r>
    <x v="1"/>
    <s v="Ep 1"/>
    <x v="3"/>
    <n v="1925000"/>
    <n v="146357.14285714299"/>
    <n v="10971.4285714286"/>
    <n v="32.214285714285701"/>
    <n v="55"/>
    <n v="8.1729128014842389E-2"/>
    <n v="1.7073170731707323"/>
  </r>
  <r>
    <x v="1"/>
    <s v="Ep 2"/>
    <x v="4"/>
    <n v="1962500"/>
    <n v="149678.57142857101"/>
    <n v="11342.857142857099"/>
    <n v="32.964285714285701"/>
    <n v="55.714285714285801"/>
    <n v="8.2049135577797763E-2"/>
    <n v="1.6901408450704258"/>
  </r>
  <r>
    <x v="2"/>
    <s v="Ep 1"/>
    <x v="5"/>
    <n v="2000000"/>
    <n v="153000"/>
    <n v="11714.285714285699"/>
    <n v="33.714285714285701"/>
    <n v="56.428571428571502"/>
    <n v="8.2357142857142851E-2"/>
    <n v="1.6737288135593249"/>
  </r>
  <r>
    <x v="2"/>
    <s v="Ep 2"/>
    <x v="6"/>
    <n v="2037500"/>
    <n v="156321.42857142899"/>
    <n v="12085.714285714301"/>
    <n v="34.464285714285701"/>
    <n v="57.142857142857203"/>
    <n v="8.2653812445223698E-2"/>
    <n v="1.6580310880829039"/>
  </r>
  <r>
    <x v="3"/>
    <s v="Episode"/>
    <x v="7"/>
    <s v="Views"/>
    <s v="Likes"/>
    <s v="Comments"/>
    <s v="Avg Watch Time (Minutes)"/>
    <s v="Duration (Minutes)"/>
    <n v="0"/>
    <n v="0"/>
  </r>
  <r>
    <x v="0"/>
    <s v="Ep 1"/>
    <x v="14"/>
    <n v="2075000"/>
    <n v="159642.85714285701"/>
    <n v="12457.142857142901"/>
    <n v="35.214285714285701"/>
    <n v="57.857142857142897"/>
    <n v="8.2939759036144534E-2"/>
    <n v="1.6430020283975677"/>
  </r>
  <r>
    <x v="0"/>
    <s v="Ep 2"/>
    <x v="15"/>
    <n v="2112500"/>
    <n v="162964.285714286"/>
    <n v="12828.5714285714"/>
    <n v="35.964285714285701"/>
    <n v="58.571428571428598"/>
    <n v="8.3215553677092255E-2"/>
    <n v="1.6285998013902694"/>
  </r>
  <r>
    <x v="3"/>
    <s v="Episode"/>
    <x v="7"/>
    <s v="Views"/>
    <s v="Likes"/>
    <s v="Comments"/>
    <s v="Avg Watch Time (Minutes)"/>
    <s v="Duration (Minutes)"/>
    <n v="0"/>
    <n v="0"/>
  </r>
  <r>
    <x v="0"/>
    <s v="Ep 1"/>
    <x v="8"/>
    <n v="1550000"/>
    <n v="113142.857142857"/>
    <n v="7257.1428571428596"/>
    <n v="24.714285714285701"/>
    <n v="47.857142857142897"/>
    <n v="7.7677419354838614E-2"/>
    <n v="1.9364161849711008"/>
  </r>
  <r>
    <x v="0"/>
    <s v="Ep 2"/>
    <x v="9"/>
    <n v="1587500"/>
    <n v="116464.285714286"/>
    <n v="7628.5714285714303"/>
    <n v="25.464285714285701"/>
    <n v="48.571428571428598"/>
    <n v="7.816872890888657E-2"/>
    <n v="1.9074333800841534"/>
  </r>
  <r>
    <x v="0"/>
    <s v="Ep 3"/>
    <x v="10"/>
    <n v="1625000"/>
    <n v="119785.714285714"/>
    <n v="8000"/>
    <n v="26.214285714285701"/>
    <n v="49.285714285714299"/>
    <n v="7.8637362637362457E-2"/>
    <n v="1.8801089918256146"/>
  </r>
  <r>
    <x v="1"/>
    <s v="Ep 1"/>
    <x v="3"/>
    <n v="1662500"/>
    <n v="123107.142857143"/>
    <n v="8371.4285714285706"/>
    <n v="26.964285714285701"/>
    <n v="50"/>
    <n v="7.9084854994629514E-2"/>
    <n v="1.8543046357615902"/>
  </r>
  <r>
    <x v="1"/>
    <s v="Ep 2"/>
    <x v="4"/>
    <n v="1700000"/>
    <n v="126428.571428571"/>
    <n v="8742.8571428571504"/>
    <n v="27.714285714285701"/>
    <n v="50.714285714285701"/>
    <n v="7.9512605042016557E-2"/>
    <n v="1.8298969072164952"/>
  </r>
  <r>
    <x v="2"/>
    <s v="Ep 1"/>
    <x v="5"/>
    <n v="1737500"/>
    <n v="129750"/>
    <n v="9114.2857142857192"/>
    <n v="28.464285714285701"/>
    <n v="51.428571428571402"/>
    <n v="7.9921891058581704E-2"/>
    <n v="1.8067754077791718"/>
  </r>
  <r>
    <x v="4"/>
    <m/>
    <x v="1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x v="0"/>
    <n v="500000"/>
  </r>
  <r>
    <x v="1"/>
    <x v="0"/>
    <n v="300000"/>
  </r>
  <r>
    <x v="2"/>
    <x v="0"/>
    <n v="200000"/>
  </r>
  <r>
    <x v="3"/>
    <x v="0"/>
    <n v="100000"/>
  </r>
  <r>
    <x v="4"/>
    <x v="0"/>
    <n v="100000"/>
  </r>
  <r>
    <x v="1"/>
    <x v="1"/>
    <n v="350000"/>
  </r>
  <r>
    <x v="2"/>
    <x v="1"/>
    <n v="250000"/>
  </r>
  <r>
    <x v="3"/>
    <x v="1"/>
    <n v="150000"/>
  </r>
  <r>
    <x v="4"/>
    <x v="1"/>
    <n v="150000"/>
  </r>
  <r>
    <x v="5"/>
    <x v="2"/>
    <n v="400000"/>
  </r>
  <r>
    <x v="1"/>
    <x v="2"/>
    <n v="450000"/>
  </r>
  <r>
    <x v="2"/>
    <x v="2"/>
    <n v="350000"/>
  </r>
  <r>
    <x v="3"/>
    <x v="2"/>
    <n v="200000"/>
  </r>
  <r>
    <x v="6"/>
    <x v="3"/>
    <s v="Views"/>
  </r>
  <r>
    <x v="0"/>
    <x v="0"/>
    <n v="278846.15384615399"/>
  </r>
  <r>
    <x v="1"/>
    <x v="0"/>
    <n v="280219.78021977999"/>
  </r>
  <r>
    <x v="2"/>
    <x v="0"/>
    <n v="281593.40659340698"/>
  </r>
  <r>
    <x v="3"/>
    <x v="0"/>
    <n v="282967.03296703298"/>
  </r>
  <r>
    <x v="0"/>
    <x v="0"/>
    <n v="278846.15384615399"/>
  </r>
  <r>
    <x v="1"/>
    <x v="0"/>
    <n v="280219.78021977999"/>
  </r>
  <r>
    <x v="2"/>
    <x v="0"/>
    <n v="281593.40659340698"/>
  </r>
  <r>
    <x v="0"/>
    <x v="0"/>
    <n v="278846.15384615399"/>
  </r>
  <r>
    <x v="1"/>
    <x v="0"/>
    <n v="280219.78021977999"/>
  </r>
  <r>
    <x v="2"/>
    <x v="0"/>
    <n v="281593.40659340698"/>
  </r>
  <r>
    <x v="3"/>
    <x v="0"/>
    <n v="282967.03296703298"/>
  </r>
  <r>
    <x v="4"/>
    <x v="0"/>
    <n v="284340.65934065898"/>
  </r>
  <r>
    <x v="1"/>
    <x v="1"/>
    <n v="285714.28571428597"/>
  </r>
  <r>
    <x v="2"/>
    <x v="1"/>
    <n v="287087.91208791197"/>
  </r>
  <r>
    <x v="3"/>
    <x v="1"/>
    <n v="288461.53846153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9" firstHeaderRow="0" firstDataRow="1" firstDataCol="1"/>
  <pivotFields count="10"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iews" fld="3" baseField="0" baseItem="0"/>
    <dataField name="Average of Engagement Rate" fld="8" subtotal="average" baseField="0" baseItem="0"/>
    <dataField name="Average of Retention Rate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:B19" firstHeaderRow="1" firstDataRow="1" firstDataCol="1"/>
  <pivotFields count="10">
    <pivotField showAll="0"/>
    <pivotField showAll="0"/>
    <pivotField axis="axisRow" showAll="0" defaultSubtotal="0">
      <items count="17">
        <item x="7"/>
        <item x="0"/>
        <item x="3"/>
        <item x="5"/>
        <item x="1"/>
        <item x="4"/>
        <item x="6"/>
        <item x="2"/>
        <item x="8"/>
        <item x="9"/>
        <item x="10"/>
        <item x="11"/>
        <item x="12"/>
        <item x="13"/>
        <item x="14"/>
        <item x="15"/>
        <item x="16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Retention Rate" fld="9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F12" firstHeaderRow="1" firstDataRow="2" firstDataCol="1"/>
  <pivotFields count="3">
    <pivotField axis="axisRow" showAll="0">
      <items count="8">
        <item x="3"/>
        <item x="6"/>
        <item x="4"/>
        <item x="2"/>
        <item x="5"/>
        <item x="1"/>
        <item x="0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View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34" totalsRowShown="0" headerRowDxfId="30" dataDxfId="28" headerRowBorderDxfId="29" tableBorderDxfId="27" totalsRowBorderDxfId="26" headerRowCellStyle="Heading 4" dataCellStyle="Heading 4">
  <autoFilter ref="A1:H34"/>
  <tableColumns count="8">
    <tableColumn id="1" name="Series" dataDxfId="25" dataCellStyle="Heading 4"/>
    <tableColumn id="2" name="Episode" dataDxfId="24" dataCellStyle="Heading 4"/>
    <tableColumn id="3" name="Upload Date" dataDxfId="23" dataCellStyle="Heading 4"/>
    <tableColumn id="4" name="Views" dataDxfId="22" dataCellStyle="Heading 4"/>
    <tableColumn id="5" name="Likes" dataDxfId="21" dataCellStyle="Heading 4"/>
    <tableColumn id="6" name="Comments" dataDxfId="20" dataCellStyle="Heading 4"/>
    <tableColumn id="7" name="Avg Watch Time (Minutes)" dataDxfId="19" dataCellStyle="Heading 4"/>
    <tableColumn id="8" name="Duration (Minutes)" dataDxfId="18" dataCellStyle="Heading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I1:I34" totalsRowShown="0" headerRowDxfId="17" dataDxfId="16" headerRowCellStyle="Heading 4" dataCellStyle="Heading 4">
  <autoFilter ref="I1:I34"/>
  <tableColumns count="1">
    <tableColumn id="1" name="Engagement Rate" dataDxfId="15" dataCellStyle="Heading 4">
      <calculatedColumnFormula>IFERROR((E2+F2)/D2,0)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J1:J34" totalsRowShown="0" headerRowDxfId="14" dataDxfId="13" headerRowCellStyle="Heading 4" dataCellStyle="Heading 4">
  <autoFilter ref="J1:J34"/>
  <tableColumns count="1">
    <tableColumn id="1" name="Retention Rate" dataDxfId="12" dataCellStyle="Heading 4">
      <calculatedColumnFormula>IFERROR(H2/G2,0)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C30" totalsRowShown="0" headerRowDxfId="11" dataDxfId="9" headerRowBorderDxfId="10" tableBorderDxfId="8" totalsRowBorderDxfId="7">
  <autoFilter ref="A1:C30"/>
  <tableColumns count="3">
    <tableColumn id="1" name="Country" dataDxfId="6"/>
    <tableColumn id="2" name="Series" dataDxfId="5"/>
    <tableColumn id="3" name="Views" dataDxfId="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D14" totalsRowShown="0">
  <autoFilter ref="A1:D14"/>
  <tableColumns count="4">
    <tableColumn id="1" name="Country" dataDxfId="3"/>
    <tableColumn id="2" name="Series" dataDxfId="2"/>
    <tableColumn id="3" name="Views" dataDxfId="1"/>
    <tableColumn id="4" name="% Contribution" dataDxfId="0">
      <calculatedColumnFormula xml:space="preserve"> C2 / SUM(C:C)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3.140625" customWidth="1"/>
    <col min="3" max="3" width="27" bestFit="1" customWidth="1"/>
    <col min="4" max="4" width="24.7109375" bestFit="1" customWidth="1"/>
  </cols>
  <sheetData>
    <row r="3" spans="1:4" x14ac:dyDescent="0.25">
      <c r="A3" s="8" t="s">
        <v>21</v>
      </c>
      <c r="B3" t="s">
        <v>30</v>
      </c>
      <c r="C3" t="s">
        <v>28</v>
      </c>
      <c r="D3" t="s">
        <v>29</v>
      </c>
    </row>
    <row r="4" spans="1:4" x14ac:dyDescent="0.25">
      <c r="A4" s="9" t="s">
        <v>0</v>
      </c>
      <c r="B4" s="10">
        <v>0</v>
      </c>
      <c r="C4" s="10">
        <v>0</v>
      </c>
      <c r="D4" s="10">
        <v>0</v>
      </c>
    </row>
    <row r="5" spans="1:4" x14ac:dyDescent="0.25">
      <c r="A5" s="9" t="s">
        <v>8</v>
      </c>
      <c r="B5" s="10">
        <v>23812500</v>
      </c>
      <c r="C5" s="10">
        <v>7.8854846208347276E-2</v>
      </c>
      <c r="D5" s="10">
        <v>1.8716444216379362</v>
      </c>
    </row>
    <row r="6" spans="1:4" x14ac:dyDescent="0.25">
      <c r="A6" s="9" t="s">
        <v>12</v>
      </c>
      <c r="B6" s="10">
        <v>12612500</v>
      </c>
      <c r="C6" s="10">
        <v>7.754715300874658E-2</v>
      </c>
      <c r="D6" s="10">
        <v>1.9213905202615083</v>
      </c>
    </row>
    <row r="7" spans="1:4" x14ac:dyDescent="0.25">
      <c r="A7" s="9" t="s">
        <v>13</v>
      </c>
      <c r="B7" s="10">
        <v>12537500</v>
      </c>
      <c r="C7" s="10">
        <v>8.0277149898679651E-2</v>
      </c>
      <c r="D7" s="10">
        <v>1.8195088642007786</v>
      </c>
    </row>
    <row r="8" spans="1:4" x14ac:dyDescent="0.25">
      <c r="A8" s="9" t="s">
        <v>27</v>
      </c>
      <c r="B8" s="10"/>
      <c r="C8" s="10"/>
      <c r="D8" s="10"/>
    </row>
    <row r="9" spans="1:4" x14ac:dyDescent="0.25">
      <c r="A9" s="9" t="s">
        <v>22</v>
      </c>
      <c r="B9" s="10">
        <v>48962500</v>
      </c>
      <c r="C9" s="10">
        <v>6.9281367281139164E-2</v>
      </c>
      <c r="D9" s="10">
        <v>1.6457790337705642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2" workbookViewId="0">
      <selection activeCell="O25" sqref="O25"/>
    </sheetView>
  </sheetViews>
  <sheetFormatPr defaultRowHeight="15" x14ac:dyDescent="0.25"/>
  <cols>
    <col min="1" max="1" width="13.140625" bestFit="1" customWidth="1"/>
    <col min="2" max="2" width="24.7109375" bestFit="1" customWidth="1"/>
  </cols>
  <sheetData>
    <row r="1" spans="1:2" x14ac:dyDescent="0.25">
      <c r="A1" s="8" t="s">
        <v>21</v>
      </c>
      <c r="B1" t="s">
        <v>29</v>
      </c>
    </row>
    <row r="2" spans="1:2" x14ac:dyDescent="0.25">
      <c r="A2" s="9" t="s">
        <v>2</v>
      </c>
      <c r="B2" s="10">
        <v>0</v>
      </c>
    </row>
    <row r="3" spans="1:2" x14ac:dyDescent="0.25">
      <c r="A3" s="15">
        <v>45667</v>
      </c>
      <c r="B3" s="10">
        <v>2.5</v>
      </c>
    </row>
    <row r="4" spans="1:2" x14ac:dyDescent="0.25">
      <c r="A4" s="15">
        <v>45933</v>
      </c>
      <c r="B4" s="10">
        <v>1.9789815861734781</v>
      </c>
    </row>
    <row r="5" spans="1:2" x14ac:dyDescent="0.25">
      <c r="A5" s="15">
        <v>45935</v>
      </c>
      <c r="B5" s="10">
        <v>1.8426532406127505</v>
      </c>
    </row>
    <row r="6" spans="1:2" x14ac:dyDescent="0.25">
      <c r="A6" s="15">
        <v>45938</v>
      </c>
      <c r="B6" s="10">
        <v>2.1428571428571428</v>
      </c>
    </row>
    <row r="7" spans="1:2" x14ac:dyDescent="0.25">
      <c r="A7" s="15">
        <v>45940</v>
      </c>
      <c r="B7" s="10">
        <v>1.8637994543495382</v>
      </c>
    </row>
    <row r="8" spans="1:2" x14ac:dyDescent="0.25">
      <c r="A8" s="15">
        <v>45942</v>
      </c>
      <c r="B8" s="10">
        <v>1.7886496956514826</v>
      </c>
    </row>
    <row r="9" spans="1:2" x14ac:dyDescent="0.25">
      <c r="A9" s="15">
        <v>45945</v>
      </c>
      <c r="B9" s="10">
        <v>1.6071428571428572</v>
      </c>
    </row>
    <row r="10" spans="1:2" x14ac:dyDescent="0.25">
      <c r="A10" s="15">
        <v>46298</v>
      </c>
      <c r="B10" s="10">
        <v>1.9364161849711008</v>
      </c>
    </row>
    <row r="11" spans="1:2" x14ac:dyDescent="0.25">
      <c r="A11" s="15">
        <v>46305</v>
      </c>
      <c r="B11" s="10">
        <v>1.9074333800841534</v>
      </c>
    </row>
    <row r="12" spans="1:2" x14ac:dyDescent="0.25">
      <c r="A12" s="15">
        <v>46310</v>
      </c>
      <c r="B12" s="10">
        <v>1.8801089918256146</v>
      </c>
    </row>
    <row r="13" spans="1:2" x14ac:dyDescent="0.25">
      <c r="A13" s="15">
        <v>46665</v>
      </c>
      <c r="B13" s="10">
        <v>1.7640047675804551</v>
      </c>
    </row>
    <row r="14" spans="1:2" x14ac:dyDescent="0.25">
      <c r="A14" s="15">
        <v>46672</v>
      </c>
      <c r="B14" s="10">
        <v>1.7441860465116295</v>
      </c>
    </row>
    <row r="15" spans="1:2" x14ac:dyDescent="0.25">
      <c r="A15" s="15">
        <v>46675</v>
      </c>
      <c r="B15" s="10">
        <v>1.7253121452894449</v>
      </c>
    </row>
    <row r="16" spans="1:2" x14ac:dyDescent="0.25">
      <c r="A16" s="15">
        <v>47033</v>
      </c>
      <c r="B16" s="10">
        <v>1.6430020283975677</v>
      </c>
    </row>
    <row r="17" spans="1:2" x14ac:dyDescent="0.25">
      <c r="A17" s="15">
        <v>47393</v>
      </c>
      <c r="B17" s="10">
        <v>1.6285998013902694</v>
      </c>
    </row>
    <row r="18" spans="1:2" x14ac:dyDescent="0.25">
      <c r="A18" s="9" t="s">
        <v>27</v>
      </c>
      <c r="B18" s="10"/>
    </row>
    <row r="19" spans="1:2" x14ac:dyDescent="0.25">
      <c r="A19" s="9" t="s">
        <v>22</v>
      </c>
      <c r="B19" s="10">
        <v>1.6457790337705638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A9" sqref="A9:XFD9"/>
    </sheetView>
  </sheetViews>
  <sheetFormatPr defaultRowHeight="15" x14ac:dyDescent="0.25"/>
  <cols>
    <col min="1" max="1" width="11.140625" style="1" customWidth="1"/>
    <col min="2" max="2" width="12" style="1" customWidth="1"/>
    <col min="3" max="3" width="17.140625" style="1" customWidth="1"/>
    <col min="4" max="4" width="12.28515625" style="1" customWidth="1"/>
    <col min="5" max="5" width="17.85546875" style="1" customWidth="1"/>
    <col min="6" max="6" width="15.42578125" style="1" customWidth="1"/>
    <col min="7" max="7" width="27.5703125" style="1" customWidth="1"/>
    <col min="8" max="8" width="20.140625" style="1" customWidth="1"/>
    <col min="9" max="9" width="20.5703125" style="1" customWidth="1"/>
    <col min="10" max="10" width="16.7109375" style="1" customWidth="1"/>
    <col min="11" max="16384" width="9.140625" style="1"/>
  </cols>
  <sheetData>
    <row r="1" spans="1:10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9" t="s">
        <v>25</v>
      </c>
      <c r="J1" s="19" t="s">
        <v>26</v>
      </c>
    </row>
    <row r="2" spans="1:10" x14ac:dyDescent="0.25">
      <c r="A2" s="20" t="s">
        <v>8</v>
      </c>
      <c r="B2" s="19" t="s">
        <v>9</v>
      </c>
      <c r="C2" s="21">
        <v>45667</v>
      </c>
      <c r="D2" s="19">
        <v>1200000</v>
      </c>
      <c r="E2" s="19">
        <v>85000</v>
      </c>
      <c r="F2" s="19">
        <v>4200</v>
      </c>
      <c r="G2" s="19">
        <v>18</v>
      </c>
      <c r="H2" s="22">
        <v>45</v>
      </c>
      <c r="I2" s="19">
        <f>IFERROR((E2+F2)/D2,0)</f>
        <v>7.4333333333333335E-2</v>
      </c>
      <c r="J2" s="19">
        <f>IFERROR(H2/G2,0)</f>
        <v>2.5</v>
      </c>
    </row>
    <row r="3" spans="1:10" x14ac:dyDescent="0.25">
      <c r="A3" s="20" t="s">
        <v>8</v>
      </c>
      <c r="B3" s="19" t="s">
        <v>10</v>
      </c>
      <c r="C3" s="21">
        <v>45938</v>
      </c>
      <c r="D3" s="19">
        <v>1350000</v>
      </c>
      <c r="E3" s="19">
        <v>92000</v>
      </c>
      <c r="F3" s="19">
        <v>5100</v>
      </c>
      <c r="G3" s="19">
        <v>21</v>
      </c>
      <c r="H3" s="22">
        <v>45</v>
      </c>
      <c r="I3" s="19">
        <f t="shared" ref="I3:I34" si="0">IFERROR((E3+F3)/D3,0)</f>
        <v>7.1925925925925921E-2</v>
      </c>
      <c r="J3" s="19">
        <f t="shared" ref="J3:J34" si="1">IFERROR(H3/G3,0)</f>
        <v>2.1428571428571428</v>
      </c>
    </row>
    <row r="4" spans="1:10" x14ac:dyDescent="0.25">
      <c r="A4" s="20" t="s">
        <v>8</v>
      </c>
      <c r="B4" s="19" t="s">
        <v>11</v>
      </c>
      <c r="C4" s="21">
        <v>45945</v>
      </c>
      <c r="D4" s="19">
        <v>2000000</v>
      </c>
      <c r="E4" s="19">
        <v>150000</v>
      </c>
      <c r="F4" s="19">
        <v>8900</v>
      </c>
      <c r="G4" s="19">
        <v>28</v>
      </c>
      <c r="H4" s="22">
        <v>45</v>
      </c>
      <c r="I4" s="19">
        <f t="shared" si="0"/>
        <v>7.9450000000000007E-2</v>
      </c>
      <c r="J4" s="19">
        <f t="shared" si="1"/>
        <v>1.6071428571428572</v>
      </c>
    </row>
    <row r="5" spans="1:10" x14ac:dyDescent="0.25">
      <c r="A5" s="20" t="s">
        <v>12</v>
      </c>
      <c r="B5" s="19" t="s">
        <v>9</v>
      </c>
      <c r="C5" s="21">
        <v>45933</v>
      </c>
      <c r="D5" s="19">
        <v>900000</v>
      </c>
      <c r="E5" s="19">
        <v>60000</v>
      </c>
      <c r="F5" s="19">
        <v>3200</v>
      </c>
      <c r="G5" s="19">
        <v>16</v>
      </c>
      <c r="H5" s="22">
        <v>40</v>
      </c>
      <c r="I5" s="19">
        <f t="shared" si="0"/>
        <v>7.0222222222222228E-2</v>
      </c>
      <c r="J5" s="19">
        <f t="shared" si="1"/>
        <v>2.5</v>
      </c>
    </row>
    <row r="6" spans="1:10" x14ac:dyDescent="0.25">
      <c r="A6" s="20" t="s">
        <v>12</v>
      </c>
      <c r="B6" s="19" t="s">
        <v>10</v>
      </c>
      <c r="C6" s="21">
        <v>45940</v>
      </c>
      <c r="D6" s="19">
        <v>1100000</v>
      </c>
      <c r="E6" s="19">
        <v>72000</v>
      </c>
      <c r="F6" s="19">
        <v>4100</v>
      </c>
      <c r="G6" s="19">
        <v>19</v>
      </c>
      <c r="H6" s="22">
        <v>40</v>
      </c>
      <c r="I6" s="19">
        <f t="shared" si="0"/>
        <v>6.9181818181818178E-2</v>
      </c>
      <c r="J6" s="19">
        <f t="shared" si="1"/>
        <v>2.1052631578947367</v>
      </c>
    </row>
    <row r="7" spans="1:10" x14ac:dyDescent="0.25">
      <c r="A7" s="20" t="s">
        <v>13</v>
      </c>
      <c r="B7" s="19" t="s">
        <v>9</v>
      </c>
      <c r="C7" s="21">
        <v>45935</v>
      </c>
      <c r="D7" s="19">
        <v>1500000</v>
      </c>
      <c r="E7" s="19">
        <v>110000</v>
      </c>
      <c r="F7" s="19">
        <v>6700</v>
      </c>
      <c r="G7" s="19">
        <v>24</v>
      </c>
      <c r="H7" s="22">
        <v>50</v>
      </c>
      <c r="I7" s="19">
        <f t="shared" si="0"/>
        <v>7.7799999999999994E-2</v>
      </c>
      <c r="J7" s="19">
        <f t="shared" si="1"/>
        <v>2.0833333333333335</v>
      </c>
    </row>
    <row r="8" spans="1:10" x14ac:dyDescent="0.25">
      <c r="A8" s="20" t="s">
        <v>13</v>
      </c>
      <c r="B8" s="19" t="s">
        <v>10</v>
      </c>
      <c r="C8" s="21">
        <v>45942</v>
      </c>
      <c r="D8" s="19">
        <v>1750000</v>
      </c>
      <c r="E8" s="19">
        <v>130000</v>
      </c>
      <c r="F8" s="19">
        <v>8200</v>
      </c>
      <c r="G8" s="19">
        <v>26</v>
      </c>
      <c r="H8" s="22">
        <v>50</v>
      </c>
      <c r="I8" s="19">
        <f t="shared" si="0"/>
        <v>7.8971428571428567E-2</v>
      </c>
      <c r="J8" s="19">
        <f t="shared" si="1"/>
        <v>1.9230769230769231</v>
      </c>
    </row>
    <row r="9" spans="1:10" x14ac:dyDescent="0.25">
      <c r="A9" s="20"/>
      <c r="B9" s="19"/>
      <c r="C9" s="19"/>
      <c r="D9" s="19"/>
      <c r="E9" s="19"/>
      <c r="F9" s="19"/>
      <c r="G9" s="19"/>
      <c r="H9" s="22"/>
      <c r="I9" s="19"/>
      <c r="J9" s="19"/>
    </row>
    <row r="10" spans="1:10" x14ac:dyDescent="0.25">
      <c r="A10" s="20" t="s">
        <v>8</v>
      </c>
      <c r="B10" s="19" t="s">
        <v>9</v>
      </c>
      <c r="C10" s="21">
        <v>46298</v>
      </c>
      <c r="D10" s="19">
        <v>1550000</v>
      </c>
      <c r="E10" s="19">
        <v>113142.857142857</v>
      </c>
      <c r="F10" s="19">
        <v>7257.1428571428596</v>
      </c>
      <c r="G10" s="19">
        <v>24.714285714285701</v>
      </c>
      <c r="H10" s="22">
        <v>47.857142857142897</v>
      </c>
      <c r="I10" s="19">
        <f t="shared" si="0"/>
        <v>7.7677419354838614E-2</v>
      </c>
      <c r="J10" s="19">
        <f t="shared" si="1"/>
        <v>1.9364161849711008</v>
      </c>
    </row>
    <row r="11" spans="1:10" x14ac:dyDescent="0.25">
      <c r="A11" s="20" t="s">
        <v>8</v>
      </c>
      <c r="B11" s="19" t="s">
        <v>10</v>
      </c>
      <c r="C11" s="21">
        <v>46305</v>
      </c>
      <c r="D11" s="19">
        <v>1587500</v>
      </c>
      <c r="E11" s="19">
        <v>116464.285714286</v>
      </c>
      <c r="F11" s="19">
        <v>7628.5714285714303</v>
      </c>
      <c r="G11" s="19">
        <v>25.464285714285701</v>
      </c>
      <c r="H11" s="22">
        <v>48.571428571428598</v>
      </c>
      <c r="I11" s="19">
        <f t="shared" si="0"/>
        <v>7.816872890888657E-2</v>
      </c>
      <c r="J11" s="19">
        <f t="shared" si="1"/>
        <v>1.9074333800841534</v>
      </c>
    </row>
    <row r="12" spans="1:10" x14ac:dyDescent="0.25">
      <c r="A12" s="20" t="s">
        <v>8</v>
      </c>
      <c r="B12" s="19" t="s">
        <v>11</v>
      </c>
      <c r="C12" s="21">
        <v>46310</v>
      </c>
      <c r="D12" s="19">
        <v>1625000</v>
      </c>
      <c r="E12" s="19">
        <v>119785.714285714</v>
      </c>
      <c r="F12" s="19">
        <v>8000</v>
      </c>
      <c r="G12" s="19">
        <v>26.214285714285701</v>
      </c>
      <c r="H12" s="22">
        <v>49.285714285714299</v>
      </c>
      <c r="I12" s="19">
        <f t="shared" si="0"/>
        <v>7.8637362637362457E-2</v>
      </c>
      <c r="J12" s="19">
        <f t="shared" si="1"/>
        <v>1.8801089918256146</v>
      </c>
    </row>
    <row r="13" spans="1:10" x14ac:dyDescent="0.25">
      <c r="A13" s="20" t="s">
        <v>12</v>
      </c>
      <c r="B13" s="19" t="s">
        <v>9</v>
      </c>
      <c r="C13" s="21">
        <v>45933</v>
      </c>
      <c r="D13" s="19">
        <v>1662500</v>
      </c>
      <c r="E13" s="19">
        <v>123107.142857143</v>
      </c>
      <c r="F13" s="19">
        <v>8371.4285714285706</v>
      </c>
      <c r="G13" s="19">
        <v>26.964285714285701</v>
      </c>
      <c r="H13" s="22">
        <v>50</v>
      </c>
      <c r="I13" s="19">
        <f t="shared" si="0"/>
        <v>7.9084854994629514E-2</v>
      </c>
      <c r="J13" s="19">
        <f t="shared" si="1"/>
        <v>1.8543046357615902</v>
      </c>
    </row>
    <row r="14" spans="1:10" x14ac:dyDescent="0.25">
      <c r="A14" s="20" t="s">
        <v>12</v>
      </c>
      <c r="B14" s="19" t="s">
        <v>10</v>
      </c>
      <c r="C14" s="21">
        <v>45940</v>
      </c>
      <c r="D14" s="19">
        <v>1700000</v>
      </c>
      <c r="E14" s="19">
        <v>126428.571428571</v>
      </c>
      <c r="F14" s="19">
        <v>8742.8571428571504</v>
      </c>
      <c r="G14" s="19">
        <v>27.714285714285701</v>
      </c>
      <c r="H14" s="22">
        <v>50.714285714285701</v>
      </c>
      <c r="I14" s="19">
        <f t="shared" si="0"/>
        <v>7.9512605042016557E-2</v>
      </c>
      <c r="J14" s="19">
        <f t="shared" si="1"/>
        <v>1.8298969072164952</v>
      </c>
    </row>
    <row r="15" spans="1:10" x14ac:dyDescent="0.25">
      <c r="A15" s="20" t="s">
        <v>13</v>
      </c>
      <c r="B15" s="19" t="s">
        <v>9</v>
      </c>
      <c r="C15" s="21">
        <v>45935</v>
      </c>
      <c r="D15" s="19">
        <v>1737500</v>
      </c>
      <c r="E15" s="19">
        <v>129750</v>
      </c>
      <c r="F15" s="19">
        <v>9114.2857142857192</v>
      </c>
      <c r="G15" s="19">
        <v>28.464285714285701</v>
      </c>
      <c r="H15" s="22">
        <v>51.428571428571402</v>
      </c>
      <c r="I15" s="19">
        <f t="shared" si="0"/>
        <v>7.9921891058581704E-2</v>
      </c>
      <c r="J15" s="19">
        <f t="shared" si="1"/>
        <v>1.8067754077791718</v>
      </c>
    </row>
    <row r="16" spans="1:10" x14ac:dyDescent="0.25">
      <c r="A16" s="20" t="s">
        <v>13</v>
      </c>
      <c r="B16" s="19" t="s">
        <v>10</v>
      </c>
      <c r="C16" s="21">
        <v>45942</v>
      </c>
      <c r="D16" s="19">
        <v>1775000</v>
      </c>
      <c r="E16" s="19">
        <v>133071.42857142899</v>
      </c>
      <c r="F16" s="19">
        <v>9485.7142857142899</v>
      </c>
      <c r="G16" s="19">
        <v>29.214285714285701</v>
      </c>
      <c r="H16" s="22">
        <v>52.142857142857103</v>
      </c>
      <c r="I16" s="19">
        <f t="shared" si="0"/>
        <v>8.0313883299799035E-2</v>
      </c>
      <c r="J16" s="19">
        <f t="shared" si="1"/>
        <v>1.7848410757946205</v>
      </c>
    </row>
    <row r="17" spans="1:10" x14ac:dyDescent="0.25">
      <c r="A17" s="20"/>
      <c r="B17" s="19"/>
      <c r="C17" s="19"/>
      <c r="D17" s="19"/>
      <c r="E17" s="19"/>
      <c r="F17" s="19"/>
      <c r="G17" s="19"/>
      <c r="H17" s="22"/>
      <c r="I17" s="19"/>
      <c r="J17" s="19"/>
    </row>
    <row r="18" spans="1:10" x14ac:dyDescent="0.25">
      <c r="A18" s="20" t="s">
        <v>8</v>
      </c>
      <c r="B18" s="19" t="s">
        <v>9</v>
      </c>
      <c r="C18" s="21">
        <v>46665</v>
      </c>
      <c r="D18" s="19">
        <v>1812500</v>
      </c>
      <c r="E18" s="19">
        <v>136392.85714285701</v>
      </c>
      <c r="F18" s="19">
        <v>9857.1428571428605</v>
      </c>
      <c r="G18" s="19">
        <v>29.964285714285701</v>
      </c>
      <c r="H18" s="22">
        <v>52.857142857142897</v>
      </c>
      <c r="I18" s="19">
        <f t="shared" si="0"/>
        <v>8.0689655172413735E-2</v>
      </c>
      <c r="J18" s="19">
        <f t="shared" si="1"/>
        <v>1.7640047675804551</v>
      </c>
    </row>
    <row r="19" spans="1:10" x14ac:dyDescent="0.25">
      <c r="A19" s="20" t="s">
        <v>8</v>
      </c>
      <c r="B19" s="19" t="s">
        <v>10</v>
      </c>
      <c r="C19" s="21">
        <v>46672</v>
      </c>
      <c r="D19" s="19">
        <v>1850000</v>
      </c>
      <c r="E19" s="19">
        <v>139714.285714286</v>
      </c>
      <c r="F19" s="19">
        <v>10228.5714285714</v>
      </c>
      <c r="G19" s="19">
        <v>30.714285714285701</v>
      </c>
      <c r="H19" s="22">
        <v>53.571428571428598</v>
      </c>
      <c r="I19" s="19">
        <f t="shared" si="0"/>
        <v>8.1050193050193189E-2</v>
      </c>
      <c r="J19" s="19">
        <f t="shared" si="1"/>
        <v>1.7441860465116295</v>
      </c>
    </row>
    <row r="20" spans="1:10" x14ac:dyDescent="0.25">
      <c r="A20" s="20" t="s">
        <v>8</v>
      </c>
      <c r="B20" s="19" t="s">
        <v>11</v>
      </c>
      <c r="C20" s="21">
        <v>46675</v>
      </c>
      <c r="D20" s="19">
        <v>1887500</v>
      </c>
      <c r="E20" s="19">
        <v>143035.714285714</v>
      </c>
      <c r="F20" s="19">
        <v>10600</v>
      </c>
      <c r="G20" s="19">
        <v>31.464285714285701</v>
      </c>
      <c r="H20" s="22">
        <v>54.285714285714299</v>
      </c>
      <c r="I20" s="19">
        <f t="shared" si="0"/>
        <v>8.1396404919583581E-2</v>
      </c>
      <c r="J20" s="19">
        <f t="shared" si="1"/>
        <v>1.7253121452894449</v>
      </c>
    </row>
    <row r="21" spans="1:10" x14ac:dyDescent="0.25">
      <c r="A21" s="20" t="s">
        <v>12</v>
      </c>
      <c r="B21" s="19" t="s">
        <v>9</v>
      </c>
      <c r="C21" s="21">
        <v>45933</v>
      </c>
      <c r="D21" s="19">
        <v>1925000</v>
      </c>
      <c r="E21" s="19">
        <v>146357.14285714299</v>
      </c>
      <c r="F21" s="19">
        <v>10971.4285714286</v>
      </c>
      <c r="G21" s="19">
        <v>32.214285714285701</v>
      </c>
      <c r="H21" s="22">
        <v>55</v>
      </c>
      <c r="I21" s="19">
        <f t="shared" si="0"/>
        <v>8.1729128014842389E-2</v>
      </c>
      <c r="J21" s="19">
        <f t="shared" si="1"/>
        <v>1.7073170731707323</v>
      </c>
    </row>
    <row r="22" spans="1:10" x14ac:dyDescent="0.25">
      <c r="A22" s="20" t="s">
        <v>12</v>
      </c>
      <c r="B22" s="19" t="s">
        <v>10</v>
      </c>
      <c r="C22" s="21">
        <v>45940</v>
      </c>
      <c r="D22" s="19">
        <v>1962500</v>
      </c>
      <c r="E22" s="19">
        <v>149678.57142857101</v>
      </c>
      <c r="F22" s="19">
        <v>11342.857142857099</v>
      </c>
      <c r="G22" s="19">
        <v>32.964285714285701</v>
      </c>
      <c r="H22" s="22">
        <v>55.714285714285801</v>
      </c>
      <c r="I22" s="19">
        <f t="shared" si="0"/>
        <v>8.2049135577797763E-2</v>
      </c>
      <c r="J22" s="19">
        <f t="shared" si="1"/>
        <v>1.6901408450704258</v>
      </c>
    </row>
    <row r="23" spans="1:10" x14ac:dyDescent="0.25">
      <c r="A23" s="20" t="s">
        <v>13</v>
      </c>
      <c r="B23" s="19" t="s">
        <v>9</v>
      </c>
      <c r="C23" s="21">
        <v>45935</v>
      </c>
      <c r="D23" s="19">
        <v>2000000</v>
      </c>
      <c r="E23" s="19">
        <v>153000</v>
      </c>
      <c r="F23" s="19">
        <v>11714.285714285699</v>
      </c>
      <c r="G23" s="19">
        <v>33.714285714285701</v>
      </c>
      <c r="H23" s="22">
        <v>56.428571428571502</v>
      </c>
      <c r="I23" s="19">
        <f t="shared" si="0"/>
        <v>8.2357142857142851E-2</v>
      </c>
      <c r="J23" s="19">
        <f t="shared" si="1"/>
        <v>1.6737288135593249</v>
      </c>
    </row>
    <row r="24" spans="1:10" x14ac:dyDescent="0.25">
      <c r="A24" s="20" t="s">
        <v>13</v>
      </c>
      <c r="B24" s="19" t="s">
        <v>10</v>
      </c>
      <c r="C24" s="21">
        <v>45942</v>
      </c>
      <c r="D24" s="19">
        <v>2037500</v>
      </c>
      <c r="E24" s="19">
        <v>156321.42857142899</v>
      </c>
      <c r="F24" s="19">
        <v>12085.714285714301</v>
      </c>
      <c r="G24" s="19">
        <v>34.464285714285701</v>
      </c>
      <c r="H24" s="22">
        <v>57.142857142857203</v>
      </c>
      <c r="I24" s="19">
        <f t="shared" si="0"/>
        <v>8.2653812445223698E-2</v>
      </c>
      <c r="J24" s="19">
        <f t="shared" si="1"/>
        <v>1.6580310880829039</v>
      </c>
    </row>
    <row r="25" spans="1:10" x14ac:dyDescent="0.25">
      <c r="A25" s="20"/>
      <c r="B25" s="19"/>
      <c r="C25" s="19"/>
      <c r="D25" s="19"/>
      <c r="E25" s="19"/>
      <c r="F25" s="19"/>
      <c r="G25" s="19"/>
      <c r="H25" s="22"/>
      <c r="I25" s="19"/>
      <c r="J25" s="19"/>
    </row>
    <row r="26" spans="1:10" x14ac:dyDescent="0.25">
      <c r="A26" s="20" t="s">
        <v>8</v>
      </c>
      <c r="B26" s="19" t="s">
        <v>9</v>
      </c>
      <c r="C26" s="21">
        <v>47033</v>
      </c>
      <c r="D26" s="19">
        <v>2075000</v>
      </c>
      <c r="E26" s="19">
        <v>159642.85714285701</v>
      </c>
      <c r="F26" s="19">
        <v>12457.142857142901</v>
      </c>
      <c r="G26" s="19">
        <v>35.214285714285701</v>
      </c>
      <c r="H26" s="22">
        <v>57.857142857142897</v>
      </c>
      <c r="I26" s="19">
        <f t="shared" si="0"/>
        <v>8.2939759036144534E-2</v>
      </c>
      <c r="J26" s="19">
        <f t="shared" si="1"/>
        <v>1.6430020283975677</v>
      </c>
    </row>
    <row r="27" spans="1:10" x14ac:dyDescent="0.25">
      <c r="A27" s="20" t="s">
        <v>8</v>
      </c>
      <c r="B27" s="19" t="s">
        <v>10</v>
      </c>
      <c r="C27" s="21">
        <v>47393</v>
      </c>
      <c r="D27" s="19">
        <v>2112500</v>
      </c>
      <c r="E27" s="19">
        <v>162964.285714286</v>
      </c>
      <c r="F27" s="19">
        <v>12828.5714285714</v>
      </c>
      <c r="G27" s="19">
        <v>35.964285714285701</v>
      </c>
      <c r="H27" s="22">
        <v>58.571428571428598</v>
      </c>
      <c r="I27" s="19">
        <f t="shared" si="0"/>
        <v>8.3215553677092255E-2</v>
      </c>
      <c r="J27" s="19">
        <f t="shared" si="1"/>
        <v>1.6285998013902694</v>
      </c>
    </row>
    <row r="28" spans="1:10" x14ac:dyDescent="0.25">
      <c r="A28" s="20"/>
      <c r="B28" s="19"/>
      <c r="C28" s="19"/>
      <c r="D28" s="19"/>
      <c r="E28" s="19"/>
      <c r="F28" s="19"/>
      <c r="G28" s="19"/>
      <c r="H28" s="22"/>
      <c r="I28" s="19"/>
      <c r="J28" s="19"/>
    </row>
    <row r="29" spans="1:10" x14ac:dyDescent="0.25">
      <c r="A29" s="20" t="s">
        <v>8</v>
      </c>
      <c r="B29" s="19" t="s">
        <v>9</v>
      </c>
      <c r="C29" s="21">
        <v>46298</v>
      </c>
      <c r="D29" s="19">
        <v>1550000</v>
      </c>
      <c r="E29" s="19">
        <v>113142.857142857</v>
      </c>
      <c r="F29" s="19">
        <v>7257.1428571428596</v>
      </c>
      <c r="G29" s="19">
        <v>24.714285714285701</v>
      </c>
      <c r="H29" s="22">
        <v>47.857142857142897</v>
      </c>
      <c r="I29" s="19">
        <f t="shared" si="0"/>
        <v>7.7677419354838614E-2</v>
      </c>
      <c r="J29" s="19">
        <f t="shared" si="1"/>
        <v>1.9364161849711008</v>
      </c>
    </row>
    <row r="30" spans="1:10" x14ac:dyDescent="0.25">
      <c r="A30" s="20" t="s">
        <v>8</v>
      </c>
      <c r="B30" s="19" t="s">
        <v>10</v>
      </c>
      <c r="C30" s="21">
        <v>46305</v>
      </c>
      <c r="D30" s="19">
        <v>1587500</v>
      </c>
      <c r="E30" s="19">
        <v>116464.285714286</v>
      </c>
      <c r="F30" s="19">
        <v>7628.5714285714303</v>
      </c>
      <c r="G30" s="19">
        <v>25.464285714285701</v>
      </c>
      <c r="H30" s="22">
        <v>48.571428571428598</v>
      </c>
      <c r="I30" s="19">
        <f t="shared" si="0"/>
        <v>7.816872890888657E-2</v>
      </c>
      <c r="J30" s="19">
        <f t="shared" si="1"/>
        <v>1.9074333800841534</v>
      </c>
    </row>
    <row r="31" spans="1:10" x14ac:dyDescent="0.25">
      <c r="A31" s="20" t="s">
        <v>8</v>
      </c>
      <c r="B31" s="19" t="s">
        <v>11</v>
      </c>
      <c r="C31" s="21">
        <v>46310</v>
      </c>
      <c r="D31" s="19">
        <v>1625000</v>
      </c>
      <c r="E31" s="19">
        <v>119785.714285714</v>
      </c>
      <c r="F31" s="19">
        <v>8000</v>
      </c>
      <c r="G31" s="19">
        <v>26.214285714285701</v>
      </c>
      <c r="H31" s="22">
        <v>49.285714285714299</v>
      </c>
      <c r="I31" s="19">
        <f t="shared" si="0"/>
        <v>7.8637362637362457E-2</v>
      </c>
      <c r="J31" s="19">
        <f t="shared" si="1"/>
        <v>1.8801089918256146</v>
      </c>
    </row>
    <row r="32" spans="1:10" x14ac:dyDescent="0.25">
      <c r="A32" s="20" t="s">
        <v>12</v>
      </c>
      <c r="B32" s="19" t="s">
        <v>9</v>
      </c>
      <c r="C32" s="21">
        <v>45933</v>
      </c>
      <c r="D32" s="19">
        <v>1662500</v>
      </c>
      <c r="E32" s="19">
        <v>123107.142857143</v>
      </c>
      <c r="F32" s="19">
        <v>8371.4285714285706</v>
      </c>
      <c r="G32" s="19">
        <v>26.964285714285701</v>
      </c>
      <c r="H32" s="22">
        <v>50</v>
      </c>
      <c r="I32" s="19">
        <f t="shared" si="0"/>
        <v>7.9084854994629514E-2</v>
      </c>
      <c r="J32" s="19">
        <f t="shared" si="1"/>
        <v>1.8543046357615902</v>
      </c>
    </row>
    <row r="33" spans="1:10" x14ac:dyDescent="0.25">
      <c r="A33" s="20" t="s">
        <v>12</v>
      </c>
      <c r="B33" s="19" t="s">
        <v>10</v>
      </c>
      <c r="C33" s="21">
        <v>45940</v>
      </c>
      <c r="D33" s="19">
        <v>1700000</v>
      </c>
      <c r="E33" s="19">
        <v>126428.571428571</v>
      </c>
      <c r="F33" s="19">
        <v>8742.8571428571504</v>
      </c>
      <c r="G33" s="19">
        <v>27.714285714285701</v>
      </c>
      <c r="H33" s="22">
        <v>50.714285714285701</v>
      </c>
      <c r="I33" s="19">
        <f t="shared" si="0"/>
        <v>7.9512605042016557E-2</v>
      </c>
      <c r="J33" s="19">
        <f t="shared" si="1"/>
        <v>1.8298969072164952</v>
      </c>
    </row>
    <row r="34" spans="1:10" x14ac:dyDescent="0.25">
      <c r="A34" s="23" t="s">
        <v>13</v>
      </c>
      <c r="B34" s="24" t="s">
        <v>9</v>
      </c>
      <c r="C34" s="25">
        <v>45935</v>
      </c>
      <c r="D34" s="24">
        <v>1737500</v>
      </c>
      <c r="E34" s="24">
        <v>129750</v>
      </c>
      <c r="F34" s="24">
        <v>9114.2857142857192</v>
      </c>
      <c r="G34" s="24">
        <v>28.464285714285701</v>
      </c>
      <c r="H34" s="26">
        <v>51.428571428571402</v>
      </c>
      <c r="I34" s="19">
        <f t="shared" si="0"/>
        <v>7.9921891058581704E-2</v>
      </c>
      <c r="J34" s="19">
        <f t="shared" si="1"/>
        <v>1.8067754077791718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Views>
    <sheetView workbookViewId="0">
      <selection activeCell="E31" sqref="E31"/>
    </sheetView>
  </sheetViews>
  <sheetFormatPr defaultRowHeight="15" x14ac:dyDescent="0.25"/>
  <cols>
    <col min="1" max="1" width="13.140625" customWidth="1"/>
    <col min="2" max="2" width="16.28515625" bestFit="1" customWidth="1"/>
    <col min="3" max="4" width="12" customWidth="1"/>
    <col min="5" max="5" width="8" customWidth="1"/>
    <col min="6" max="6" width="12" bestFit="1" customWidth="1"/>
  </cols>
  <sheetData>
    <row r="3" spans="1:6" x14ac:dyDescent="0.25">
      <c r="A3" s="8" t="s">
        <v>30</v>
      </c>
      <c r="B3" s="8" t="s">
        <v>23</v>
      </c>
    </row>
    <row r="4" spans="1:6" x14ac:dyDescent="0.25">
      <c r="A4" s="8" t="s">
        <v>21</v>
      </c>
      <c r="B4" t="s">
        <v>0</v>
      </c>
      <c r="C4" t="s">
        <v>8</v>
      </c>
      <c r="D4" t="s">
        <v>12</v>
      </c>
      <c r="E4" t="s">
        <v>13</v>
      </c>
      <c r="F4" t="s">
        <v>22</v>
      </c>
    </row>
    <row r="5" spans="1:6" x14ac:dyDescent="0.25">
      <c r="A5" s="9" t="s">
        <v>18</v>
      </c>
      <c r="B5" s="10"/>
      <c r="C5" s="10">
        <v>665934.06593406596</v>
      </c>
      <c r="D5" s="10">
        <v>438461.53846153902</v>
      </c>
      <c r="E5" s="10">
        <v>200000</v>
      </c>
      <c r="F5" s="10">
        <v>1304395.6043956049</v>
      </c>
    </row>
    <row r="6" spans="1:6" x14ac:dyDescent="0.25">
      <c r="A6" s="9" t="s">
        <v>14</v>
      </c>
      <c r="B6" s="10">
        <v>0</v>
      </c>
      <c r="C6" s="10"/>
      <c r="D6" s="10"/>
      <c r="E6" s="10"/>
      <c r="F6" s="10">
        <v>0</v>
      </c>
    </row>
    <row r="7" spans="1:6" x14ac:dyDescent="0.25">
      <c r="A7" s="9" t="s">
        <v>19</v>
      </c>
      <c r="B7" s="10"/>
      <c r="C7" s="10">
        <v>384340.65934065898</v>
      </c>
      <c r="D7" s="10">
        <v>150000</v>
      </c>
      <c r="E7" s="10"/>
      <c r="F7" s="10">
        <v>534340.65934065892</v>
      </c>
    </row>
    <row r="8" spans="1:6" x14ac:dyDescent="0.25">
      <c r="A8" s="9" t="s">
        <v>17</v>
      </c>
      <c r="B8" s="10"/>
      <c r="C8" s="10">
        <v>1044780.2197802209</v>
      </c>
      <c r="D8" s="10">
        <v>537087.91208791197</v>
      </c>
      <c r="E8" s="10">
        <v>350000</v>
      </c>
      <c r="F8" s="10">
        <v>1931868.1318681329</v>
      </c>
    </row>
    <row r="9" spans="1:6" x14ac:dyDescent="0.25">
      <c r="A9" s="9" t="s">
        <v>20</v>
      </c>
      <c r="B9" s="10"/>
      <c r="C9" s="10"/>
      <c r="D9" s="10"/>
      <c r="E9" s="10">
        <v>400000</v>
      </c>
      <c r="F9" s="10">
        <v>400000</v>
      </c>
    </row>
    <row r="10" spans="1:6" x14ac:dyDescent="0.25">
      <c r="A10" s="9" t="s">
        <v>16</v>
      </c>
      <c r="B10" s="10"/>
      <c r="C10" s="10">
        <v>1140659.3406593401</v>
      </c>
      <c r="D10" s="10">
        <v>635714.28571428591</v>
      </c>
      <c r="E10" s="10">
        <v>450000</v>
      </c>
      <c r="F10" s="10">
        <v>2226373.6263736263</v>
      </c>
    </row>
    <row r="11" spans="1:6" x14ac:dyDescent="0.25">
      <c r="A11" s="9" t="s">
        <v>15</v>
      </c>
      <c r="B11" s="10"/>
      <c r="C11" s="10">
        <v>1336538.461538462</v>
      </c>
      <c r="D11" s="10"/>
      <c r="E11" s="10"/>
      <c r="F11" s="10">
        <v>1336538.461538462</v>
      </c>
    </row>
    <row r="12" spans="1:6" x14ac:dyDescent="0.25">
      <c r="A12" s="9" t="s">
        <v>22</v>
      </c>
      <c r="B12" s="10">
        <v>0</v>
      </c>
      <c r="C12" s="10">
        <v>4572252.7472527474</v>
      </c>
      <c r="D12" s="10">
        <v>1761263.7362637368</v>
      </c>
      <c r="E12" s="10">
        <v>1400000</v>
      </c>
      <c r="F12" s="10">
        <v>7733516.4835164845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C30"/>
    </sheetView>
  </sheetViews>
  <sheetFormatPr defaultRowHeight="15" x14ac:dyDescent="0.25"/>
  <cols>
    <col min="1" max="1" width="14.5703125" customWidth="1"/>
    <col min="2" max="2" width="13.42578125" customWidth="1"/>
    <col min="3" max="3" width="16.140625" customWidth="1"/>
    <col min="4" max="4" width="15.28515625" customWidth="1"/>
    <col min="5" max="5" width="15.140625" customWidth="1"/>
    <col min="6" max="6" width="16.42578125" customWidth="1"/>
    <col min="7" max="7" width="15.140625" customWidth="1"/>
    <col min="8" max="8" width="11" customWidth="1"/>
  </cols>
  <sheetData>
    <row r="1" spans="1:3" x14ac:dyDescent="0.25">
      <c r="A1" s="4" t="s">
        <v>14</v>
      </c>
      <c r="B1" s="5" t="s">
        <v>0</v>
      </c>
      <c r="C1" s="5" t="s">
        <v>3</v>
      </c>
    </row>
    <row r="2" spans="1:3" x14ac:dyDescent="0.25">
      <c r="A2" s="3" t="s">
        <v>15</v>
      </c>
      <c r="B2" s="2" t="s">
        <v>8</v>
      </c>
      <c r="C2" s="2">
        <v>500000</v>
      </c>
    </row>
    <row r="3" spans="1:3" x14ac:dyDescent="0.25">
      <c r="A3" s="3" t="s">
        <v>16</v>
      </c>
      <c r="B3" s="2" t="s">
        <v>8</v>
      </c>
      <c r="C3" s="2">
        <v>300000</v>
      </c>
    </row>
    <row r="4" spans="1:3" x14ac:dyDescent="0.25">
      <c r="A4" s="3" t="s">
        <v>17</v>
      </c>
      <c r="B4" s="2" t="s">
        <v>8</v>
      </c>
      <c r="C4" s="2">
        <v>200000</v>
      </c>
    </row>
    <row r="5" spans="1:3" x14ac:dyDescent="0.25">
      <c r="A5" s="3" t="s">
        <v>18</v>
      </c>
      <c r="B5" s="2" t="s">
        <v>8</v>
      </c>
      <c r="C5" s="2">
        <v>100000</v>
      </c>
    </row>
    <row r="6" spans="1:3" x14ac:dyDescent="0.25">
      <c r="A6" s="3" t="s">
        <v>19</v>
      </c>
      <c r="B6" s="2" t="s">
        <v>8</v>
      </c>
      <c r="C6" s="2">
        <v>100000</v>
      </c>
    </row>
    <row r="7" spans="1:3" x14ac:dyDescent="0.25">
      <c r="A7" s="3" t="s">
        <v>16</v>
      </c>
      <c r="B7" s="2" t="s">
        <v>12</v>
      </c>
      <c r="C7" s="2">
        <v>350000</v>
      </c>
    </row>
    <row r="8" spans="1:3" x14ac:dyDescent="0.25">
      <c r="A8" s="3" t="s">
        <v>17</v>
      </c>
      <c r="B8" s="2" t="s">
        <v>12</v>
      </c>
      <c r="C8" s="2">
        <v>250000</v>
      </c>
    </row>
    <row r="9" spans="1:3" x14ac:dyDescent="0.25">
      <c r="A9" s="3" t="s">
        <v>18</v>
      </c>
      <c r="B9" s="2" t="s">
        <v>12</v>
      </c>
      <c r="C9" s="2">
        <v>150000</v>
      </c>
    </row>
    <row r="10" spans="1:3" x14ac:dyDescent="0.25">
      <c r="A10" s="3" t="s">
        <v>19</v>
      </c>
      <c r="B10" s="2" t="s">
        <v>12</v>
      </c>
      <c r="C10" s="2">
        <v>150000</v>
      </c>
    </row>
    <row r="11" spans="1:3" x14ac:dyDescent="0.25">
      <c r="A11" s="3" t="s">
        <v>20</v>
      </c>
      <c r="B11" s="2" t="s">
        <v>13</v>
      </c>
      <c r="C11" s="2">
        <v>400000</v>
      </c>
    </row>
    <row r="12" spans="1:3" x14ac:dyDescent="0.25">
      <c r="A12" s="3" t="s">
        <v>16</v>
      </c>
      <c r="B12" s="2" t="s">
        <v>13</v>
      </c>
      <c r="C12" s="2">
        <v>450000</v>
      </c>
    </row>
    <row r="13" spans="1:3" x14ac:dyDescent="0.25">
      <c r="A13" s="3" t="s">
        <v>17</v>
      </c>
      <c r="B13" s="2" t="s">
        <v>13</v>
      </c>
      <c r="C13" s="2">
        <v>350000</v>
      </c>
    </row>
    <row r="14" spans="1:3" x14ac:dyDescent="0.25">
      <c r="A14" s="3" t="s">
        <v>18</v>
      </c>
      <c r="B14" s="2" t="s">
        <v>13</v>
      </c>
      <c r="C14" s="2">
        <v>200000</v>
      </c>
    </row>
    <row r="15" spans="1:3" x14ac:dyDescent="0.25">
      <c r="A15" s="3" t="s">
        <v>14</v>
      </c>
      <c r="B15" s="2" t="s">
        <v>0</v>
      </c>
      <c r="C15" s="2" t="s">
        <v>3</v>
      </c>
    </row>
    <row r="16" spans="1:3" x14ac:dyDescent="0.25">
      <c r="A16" s="3" t="s">
        <v>15</v>
      </c>
      <c r="B16" s="2" t="s">
        <v>8</v>
      </c>
      <c r="C16" s="2">
        <v>278846.15384615399</v>
      </c>
    </row>
    <row r="17" spans="1:3" x14ac:dyDescent="0.25">
      <c r="A17" s="3" t="s">
        <v>16</v>
      </c>
      <c r="B17" s="2" t="s">
        <v>8</v>
      </c>
      <c r="C17" s="2">
        <v>280219.78021977999</v>
      </c>
    </row>
    <row r="18" spans="1:3" x14ac:dyDescent="0.25">
      <c r="A18" s="3" t="s">
        <v>17</v>
      </c>
      <c r="B18" s="2" t="s">
        <v>8</v>
      </c>
      <c r="C18" s="2">
        <v>281593.40659340698</v>
      </c>
    </row>
    <row r="19" spans="1:3" x14ac:dyDescent="0.25">
      <c r="A19" s="6" t="s">
        <v>18</v>
      </c>
      <c r="B19" s="7" t="s">
        <v>8</v>
      </c>
      <c r="C19" s="7">
        <v>282967.03296703298</v>
      </c>
    </row>
    <row r="20" spans="1:3" x14ac:dyDescent="0.25">
      <c r="A20" s="3" t="s">
        <v>15</v>
      </c>
      <c r="B20" s="2" t="s">
        <v>8</v>
      </c>
      <c r="C20" s="2">
        <v>278846.15384615399</v>
      </c>
    </row>
    <row r="21" spans="1:3" x14ac:dyDescent="0.25">
      <c r="A21" s="3" t="s">
        <v>16</v>
      </c>
      <c r="B21" s="2" t="s">
        <v>8</v>
      </c>
      <c r="C21" s="2">
        <v>280219.78021977999</v>
      </c>
    </row>
    <row r="22" spans="1:3" x14ac:dyDescent="0.25">
      <c r="A22" s="3" t="s">
        <v>17</v>
      </c>
      <c r="B22" s="2" t="s">
        <v>8</v>
      </c>
      <c r="C22" s="2">
        <v>281593.40659340698</v>
      </c>
    </row>
    <row r="23" spans="1:3" x14ac:dyDescent="0.25">
      <c r="A23" s="3" t="s">
        <v>15</v>
      </c>
      <c r="B23" s="2" t="s">
        <v>8</v>
      </c>
      <c r="C23" s="2">
        <v>278846.15384615399</v>
      </c>
    </row>
    <row r="24" spans="1:3" x14ac:dyDescent="0.25">
      <c r="A24" s="3" t="s">
        <v>16</v>
      </c>
      <c r="B24" s="2" t="s">
        <v>8</v>
      </c>
      <c r="C24" s="2">
        <v>280219.78021977999</v>
      </c>
    </row>
    <row r="25" spans="1:3" x14ac:dyDescent="0.25">
      <c r="A25" s="3" t="s">
        <v>17</v>
      </c>
      <c r="B25" s="2" t="s">
        <v>8</v>
      </c>
      <c r="C25" s="2">
        <v>281593.40659340698</v>
      </c>
    </row>
    <row r="26" spans="1:3" x14ac:dyDescent="0.25">
      <c r="A26" s="3" t="s">
        <v>18</v>
      </c>
      <c r="B26" s="2" t="s">
        <v>8</v>
      </c>
      <c r="C26" s="2">
        <v>282967.03296703298</v>
      </c>
    </row>
    <row r="27" spans="1:3" x14ac:dyDescent="0.25">
      <c r="A27" s="3" t="s">
        <v>19</v>
      </c>
      <c r="B27" s="2" t="s">
        <v>8</v>
      </c>
      <c r="C27" s="2">
        <v>284340.65934065898</v>
      </c>
    </row>
    <row r="28" spans="1:3" x14ac:dyDescent="0.25">
      <c r="A28" s="3" t="s">
        <v>16</v>
      </c>
      <c r="B28" s="2" t="s">
        <v>12</v>
      </c>
      <c r="C28" s="2">
        <v>285714.28571428597</v>
      </c>
    </row>
    <row r="29" spans="1:3" x14ac:dyDescent="0.25">
      <c r="A29" s="3" t="s">
        <v>17</v>
      </c>
      <c r="B29" s="2" t="s">
        <v>12</v>
      </c>
      <c r="C29" s="2">
        <v>287087.91208791197</v>
      </c>
    </row>
    <row r="30" spans="1:3" x14ac:dyDescent="0.25">
      <c r="A30" s="3" t="s">
        <v>18</v>
      </c>
      <c r="B30" s="2" t="s">
        <v>12</v>
      </c>
      <c r="C30" s="2">
        <v>288461.53846153902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130" zoomScaleNormal="130" workbookViewId="0">
      <selection activeCell="E1" sqref="E1"/>
    </sheetView>
  </sheetViews>
  <sheetFormatPr defaultColWidth="13.85546875" defaultRowHeight="15" x14ac:dyDescent="0.25"/>
  <cols>
    <col min="1" max="1" width="11" bestFit="1" customWidth="1"/>
    <col min="2" max="2" width="9.7109375" customWidth="1"/>
    <col min="3" max="3" width="9.5703125" customWidth="1"/>
    <col min="4" max="4" width="15" customWidth="1"/>
  </cols>
  <sheetData>
    <row r="1" spans="1:4" x14ac:dyDescent="0.25">
      <c r="A1" t="s">
        <v>14</v>
      </c>
      <c r="B1" t="s">
        <v>0</v>
      </c>
      <c r="C1" t="s">
        <v>3</v>
      </c>
      <c r="D1" t="s">
        <v>24</v>
      </c>
    </row>
    <row r="2" spans="1:4" x14ac:dyDescent="0.25">
      <c r="A2" s="11" t="s">
        <v>15</v>
      </c>
      <c r="B2" s="11" t="s">
        <v>8</v>
      </c>
      <c r="C2" s="12">
        <v>500000</v>
      </c>
      <c r="D2">
        <f t="shared" ref="D2:D14" si="0" xml:space="preserve"> C2 / SUM(C:C)</f>
        <v>0.14285714285714285</v>
      </c>
    </row>
    <row r="3" spans="1:4" x14ac:dyDescent="0.25">
      <c r="A3" s="13" t="s">
        <v>16</v>
      </c>
      <c r="B3" s="13" t="s">
        <v>8</v>
      </c>
      <c r="C3" s="14">
        <v>300000</v>
      </c>
      <c r="D3">
        <f t="shared" si="0"/>
        <v>8.5714285714285715E-2</v>
      </c>
    </row>
    <row r="4" spans="1:4" x14ac:dyDescent="0.25">
      <c r="A4" s="11" t="s">
        <v>17</v>
      </c>
      <c r="B4" s="11" t="s">
        <v>8</v>
      </c>
      <c r="C4" s="12">
        <v>200000</v>
      </c>
      <c r="D4">
        <f t="shared" si="0"/>
        <v>5.7142857142857141E-2</v>
      </c>
    </row>
    <row r="5" spans="1:4" x14ac:dyDescent="0.25">
      <c r="A5" s="13" t="s">
        <v>18</v>
      </c>
      <c r="B5" s="13" t="s">
        <v>8</v>
      </c>
      <c r="C5" s="14">
        <v>100000</v>
      </c>
      <c r="D5">
        <f t="shared" si="0"/>
        <v>2.8571428571428571E-2</v>
      </c>
    </row>
    <row r="6" spans="1:4" x14ac:dyDescent="0.25">
      <c r="A6" s="11" t="s">
        <v>19</v>
      </c>
      <c r="B6" s="11" t="s">
        <v>8</v>
      </c>
      <c r="C6" s="12">
        <v>100000</v>
      </c>
      <c r="D6">
        <f t="shared" si="0"/>
        <v>2.8571428571428571E-2</v>
      </c>
    </row>
    <row r="7" spans="1:4" x14ac:dyDescent="0.25">
      <c r="A7" s="13" t="s">
        <v>16</v>
      </c>
      <c r="B7" s="13" t="s">
        <v>12</v>
      </c>
      <c r="C7" s="14">
        <v>350000</v>
      </c>
      <c r="D7">
        <f t="shared" si="0"/>
        <v>0.1</v>
      </c>
    </row>
    <row r="8" spans="1:4" x14ac:dyDescent="0.25">
      <c r="A8" s="11" t="s">
        <v>17</v>
      </c>
      <c r="B8" s="11" t="s">
        <v>12</v>
      </c>
      <c r="C8" s="12">
        <v>250000</v>
      </c>
      <c r="D8">
        <f t="shared" si="0"/>
        <v>7.1428571428571425E-2</v>
      </c>
    </row>
    <row r="9" spans="1:4" x14ac:dyDescent="0.25">
      <c r="A9" s="13" t="s">
        <v>18</v>
      </c>
      <c r="B9" s="13" t="s">
        <v>12</v>
      </c>
      <c r="C9" s="14">
        <v>150000</v>
      </c>
      <c r="D9">
        <f t="shared" si="0"/>
        <v>4.2857142857142858E-2</v>
      </c>
    </row>
    <row r="10" spans="1:4" x14ac:dyDescent="0.25">
      <c r="A10" s="11" t="s">
        <v>19</v>
      </c>
      <c r="B10" s="11" t="s">
        <v>12</v>
      </c>
      <c r="C10" s="12">
        <v>150000</v>
      </c>
      <c r="D10">
        <f t="shared" si="0"/>
        <v>4.2857142857142858E-2</v>
      </c>
    </row>
    <row r="11" spans="1:4" x14ac:dyDescent="0.25">
      <c r="A11" s="13" t="s">
        <v>20</v>
      </c>
      <c r="B11" s="13" t="s">
        <v>13</v>
      </c>
      <c r="C11" s="14">
        <v>400000</v>
      </c>
      <c r="D11">
        <f t="shared" si="0"/>
        <v>0.11428571428571428</v>
      </c>
    </row>
    <row r="12" spans="1:4" x14ac:dyDescent="0.25">
      <c r="A12" s="11" t="s">
        <v>16</v>
      </c>
      <c r="B12" s="11" t="s">
        <v>13</v>
      </c>
      <c r="C12" s="12">
        <v>450000</v>
      </c>
      <c r="D12">
        <f t="shared" si="0"/>
        <v>0.12857142857142856</v>
      </c>
    </row>
    <row r="13" spans="1:4" x14ac:dyDescent="0.25">
      <c r="A13" s="13" t="s">
        <v>17</v>
      </c>
      <c r="B13" s="13" t="s">
        <v>13</v>
      </c>
      <c r="C13" s="14">
        <v>350000</v>
      </c>
      <c r="D13">
        <f t="shared" si="0"/>
        <v>0.1</v>
      </c>
    </row>
    <row r="14" spans="1:4" x14ac:dyDescent="0.25">
      <c r="A14" s="11" t="s">
        <v>18</v>
      </c>
      <c r="B14" s="11" t="s">
        <v>13</v>
      </c>
      <c r="C14" s="12">
        <v>200000</v>
      </c>
      <c r="D14">
        <f t="shared" si="0"/>
        <v>5.7142857142857141E-2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Series</vt:lpstr>
      <vt:lpstr>Pivot_Retention_Trend</vt:lpstr>
      <vt:lpstr>DATA</vt:lpstr>
      <vt:lpstr>Pivot_Country</vt:lpstr>
      <vt:lpstr>GEOGRAPHY DATA</vt:lpstr>
      <vt:lpstr>SUBSCRIBER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Panchal</dc:creator>
  <cp:lastModifiedBy>Shubham Panchal</cp:lastModifiedBy>
  <dcterms:created xsi:type="dcterms:W3CDTF">2026-02-19T07:41:27Z</dcterms:created>
  <dcterms:modified xsi:type="dcterms:W3CDTF">2026-02-25T10:17:57Z</dcterms:modified>
</cp:coreProperties>
</file>